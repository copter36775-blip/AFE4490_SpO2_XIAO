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dlab2\Desktop\040313447_Lab7\"/>
    </mc:Choice>
  </mc:AlternateContent>
  <bookViews>
    <workbookView xWindow="-105" yWindow="-105" windowWidth="23250" windowHeight="12450"/>
  </bookViews>
  <sheets>
    <sheet name="Manual" sheetId="1" r:id="rId1"/>
    <sheet name="Sheet1" sheetId="3" r:id="rId2"/>
    <sheet name="Matlab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1" l="1"/>
  <c r="E14" i="1"/>
  <c r="E15" i="1"/>
  <c r="E16" i="1"/>
  <c r="E17" i="1"/>
  <c r="E13" i="1"/>
  <c r="D14" i="1"/>
  <c r="D15" i="1"/>
  <c r="D16" i="1"/>
  <c r="D17" i="1"/>
  <c r="I33" i="1"/>
  <c r="J33" i="1"/>
  <c r="K33" i="1"/>
  <c r="L33" i="1"/>
  <c r="J32" i="1"/>
  <c r="K32" i="1"/>
  <c r="L32" i="1"/>
  <c r="I32" i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5" i="1"/>
  <c r="J5" i="1" s="1"/>
  <c r="K5" i="1" s="1"/>
  <c r="D41" i="1"/>
  <c r="E41" i="1" s="1"/>
  <c r="D42" i="1"/>
  <c r="E42" i="1" s="1"/>
  <c r="D43" i="1"/>
  <c r="D44" i="1"/>
  <c r="E44" i="1" s="1"/>
  <c r="D40" i="1"/>
  <c r="E40" i="1" s="1"/>
  <c r="E31" i="1"/>
  <c r="E32" i="1"/>
  <c r="E33" i="1"/>
  <c r="E34" i="1"/>
  <c r="E35" i="1"/>
  <c r="E30" i="1"/>
  <c r="D31" i="1"/>
  <c r="D32" i="1"/>
  <c r="D33" i="1"/>
  <c r="D34" i="1"/>
  <c r="D35" i="1"/>
  <c r="D30" i="1"/>
  <c r="H21" i="1"/>
  <c r="E50" i="1" s="1"/>
  <c r="H22" i="1"/>
  <c r="E51" i="1" s="1"/>
  <c r="H23" i="1"/>
  <c r="E52" i="1" s="1"/>
  <c r="H24" i="1"/>
  <c r="E53" i="1" s="1"/>
  <c r="H25" i="1"/>
  <c r="E54" i="1" s="1"/>
  <c r="H20" i="1"/>
  <c r="E49" i="1" s="1"/>
  <c r="G21" i="1"/>
  <c r="D50" i="1" s="1"/>
  <c r="G22" i="1"/>
  <c r="D51" i="1" s="1"/>
  <c r="G23" i="1"/>
  <c r="D52" i="1" s="1"/>
  <c r="G24" i="1"/>
  <c r="D53" i="1" s="1"/>
  <c r="G25" i="1"/>
  <c r="D54" i="1" s="1"/>
  <c r="G20" i="1"/>
  <c r="D49" i="1" s="1"/>
  <c r="E21" i="1"/>
  <c r="E22" i="1"/>
  <c r="E23" i="1"/>
  <c r="E24" i="1"/>
  <c r="E25" i="1"/>
  <c r="E20" i="1"/>
  <c r="D21" i="1"/>
  <c r="D22" i="1"/>
  <c r="D23" i="1"/>
  <c r="D24" i="1"/>
  <c r="D25" i="1"/>
  <c r="D20" i="1"/>
  <c r="F21" i="1" l="1"/>
  <c r="F54" i="1"/>
  <c r="I35" i="1"/>
  <c r="J35" i="1"/>
  <c r="F15" i="1"/>
  <c r="G15" i="1" s="1"/>
  <c r="F17" i="1"/>
  <c r="G17" i="1" s="1"/>
  <c r="F16" i="1"/>
  <c r="G16" i="1" s="1"/>
  <c r="F14" i="1"/>
  <c r="G14" i="1" s="1"/>
  <c r="F31" i="1"/>
  <c r="G31" i="1" s="1"/>
  <c r="F13" i="1"/>
  <c r="G13" i="1" s="1"/>
  <c r="F22" i="1"/>
  <c r="F32" i="1"/>
  <c r="G32" i="1" s="1"/>
  <c r="F53" i="1"/>
  <c r="F52" i="1"/>
  <c r="F51" i="1"/>
  <c r="F25" i="1"/>
  <c r="E36" i="1"/>
  <c r="E55" i="1"/>
  <c r="F50" i="1"/>
  <c r="F49" i="1"/>
  <c r="D55" i="1"/>
  <c r="F33" i="1"/>
  <c r="G33" i="1" s="1"/>
  <c r="G26" i="1"/>
  <c r="I25" i="1"/>
  <c r="E26" i="1"/>
  <c r="D45" i="1"/>
  <c r="E45" i="1" s="1"/>
  <c r="D26" i="1"/>
  <c r="I23" i="1"/>
  <c r="I24" i="1"/>
  <c r="F30" i="1"/>
  <c r="G30" i="1" s="1"/>
  <c r="F24" i="1"/>
  <c r="I21" i="1"/>
  <c r="F35" i="1"/>
  <c r="G35" i="1" s="1"/>
  <c r="H26" i="1"/>
  <c r="F34" i="1"/>
  <c r="G34" i="1" s="1"/>
  <c r="I22" i="1"/>
  <c r="F23" i="1"/>
  <c r="F20" i="1"/>
  <c r="D36" i="1"/>
  <c r="I20" i="1"/>
  <c r="E43" i="1"/>
  <c r="K35" i="1" l="1"/>
  <c r="J21" i="1"/>
  <c r="K21" i="1" s="1"/>
  <c r="J22" i="1"/>
  <c r="K22" i="1" s="1"/>
  <c r="J25" i="1"/>
  <c r="K25" i="1" s="1"/>
  <c r="F36" i="1"/>
  <c r="G36" i="1" s="1"/>
  <c r="F26" i="1"/>
  <c r="J24" i="1"/>
  <c r="K24" i="1" s="1"/>
  <c r="I26" i="1"/>
  <c r="F55" i="1"/>
  <c r="J20" i="1"/>
  <c r="K20" i="1" s="1"/>
  <c r="J23" i="1"/>
  <c r="K23" i="1" s="1"/>
  <c r="J26" i="1" l="1"/>
  <c r="K26" i="1" s="1"/>
</calcChain>
</file>

<file path=xl/sharedStrings.xml><?xml version="1.0" encoding="utf-8"?>
<sst xmlns="http://schemas.openxmlformats.org/spreadsheetml/2006/main" count="57" uniqueCount="31">
  <si>
    <t>No.</t>
  </si>
  <si>
    <t>Max. Red</t>
  </si>
  <si>
    <t>Min. Red</t>
  </si>
  <si>
    <t>Max IR</t>
  </si>
  <si>
    <t>Min IR</t>
  </si>
  <si>
    <t>Max. IR Time</t>
  </si>
  <si>
    <t>ACred</t>
  </si>
  <si>
    <t>DCred</t>
  </si>
  <si>
    <t>ACir</t>
  </si>
  <si>
    <t>DCir</t>
  </si>
  <si>
    <t>R Absorption</t>
  </si>
  <si>
    <t>IR Absorption</t>
  </si>
  <si>
    <t>R</t>
  </si>
  <si>
    <t>%SpO2</t>
  </si>
  <si>
    <t>Average</t>
  </si>
  <si>
    <t>T[n]</t>
  </si>
  <si>
    <t>PR[n]</t>
  </si>
  <si>
    <t>PI</t>
  </si>
  <si>
    <t>PI (%)</t>
  </si>
  <si>
    <t xml:space="preserve">No. </t>
  </si>
  <si>
    <t>SpO2</t>
  </si>
  <si>
    <t>Algorithm1</t>
  </si>
  <si>
    <t>Algorithm 2</t>
  </si>
  <si>
    <t>PR</t>
  </si>
  <si>
    <t>Period</t>
  </si>
  <si>
    <t>Frequency</t>
  </si>
  <si>
    <t>Pulse Rate</t>
  </si>
  <si>
    <t>Ared</t>
  </si>
  <si>
    <t>Air</t>
  </si>
  <si>
    <t>SPO2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</si>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</sst>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7" formatCode="0.00000"/>
    <numFmt numFmtId="188" formatCode="0.000"/>
    <numFmt numFmtId="189" formatCode="0.0"/>
    <numFmt numFmtId="190" formatCode="0.00000000"/>
    <numFmt numFmtId="191" formatCode="0.0000"/>
  </numFmts>
  <fonts count="1" x14ac:knownFonts="1">
    <font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90" fontId="0" fillId="0" borderId="1" xfId="0" applyNumberFormat="1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18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90" fontId="0" fillId="3" borderId="1" xfId="0" applyNumberFormat="1" applyFill="1" applyBorder="1" applyAlignment="1">
      <alignment horizontal="center" vertical="center"/>
    </xf>
    <xf numFmtId="188" fontId="0" fillId="3" borderId="1" xfId="0" applyNumberFormat="1" applyFill="1" applyBorder="1" applyAlignment="1">
      <alignment horizontal="center" vertical="center"/>
    </xf>
    <xf numFmtId="189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87" fontId="0" fillId="0" borderId="1" xfId="0" applyNumberFormat="1" applyBorder="1" applyAlignment="1">
      <alignment horizontal="center"/>
    </xf>
    <xf numFmtId="189" fontId="0" fillId="0" borderId="1" xfId="0" applyNumberFormat="1" applyBorder="1" applyAlignment="1">
      <alignment horizontal="center"/>
    </xf>
    <xf numFmtId="18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9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55"/>
  <sheetViews>
    <sheetView tabSelected="1" topLeftCell="A16" zoomScaleNormal="100" workbookViewId="0">
      <selection activeCell="J12" sqref="J12"/>
    </sheetView>
  </sheetViews>
  <sheetFormatPr defaultRowHeight="14.25" x14ac:dyDescent="0.2"/>
  <cols>
    <col min="3" max="3" width="8.75" style="1"/>
    <col min="4" max="11" width="16" style="1" customWidth="1"/>
    <col min="12" max="12" width="9.5" bestFit="1" customWidth="1"/>
  </cols>
  <sheetData>
    <row r="3" spans="3:11" x14ac:dyDescent="0.2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11" x14ac:dyDescent="0.2">
      <c r="C4" s="3">
        <v>1</v>
      </c>
      <c r="D4" s="22">
        <v>4.8399999999999999E-2</v>
      </c>
      <c r="E4" s="22">
        <v>4.7500000000000001E-2</v>
      </c>
      <c r="F4" s="22">
        <v>5.4699999999999999E-2</v>
      </c>
      <c r="G4" s="22">
        <v>5.2999999999999999E-2</v>
      </c>
      <c r="H4" s="22">
        <v>0.90600000000000003</v>
      </c>
      <c r="I4" s="1" t="s">
        <v>24</v>
      </c>
      <c r="J4" s="1" t="s">
        <v>25</v>
      </c>
      <c r="K4" s="1" t="s">
        <v>26</v>
      </c>
    </row>
    <row r="5" spans="3:11" x14ac:dyDescent="0.2">
      <c r="C5" s="3">
        <v>2</v>
      </c>
      <c r="D5" s="22">
        <v>4.8399999999999999E-2</v>
      </c>
      <c r="E5" s="22">
        <v>4.7500000000000001E-2</v>
      </c>
      <c r="F5" s="22">
        <v>5.4800000000000001E-2</v>
      </c>
      <c r="G5" s="22">
        <v>5.3199999999999997E-2</v>
      </c>
      <c r="H5" s="22">
        <v>1.496</v>
      </c>
      <c r="I5" s="1">
        <f>H5-H4</f>
        <v>0.59</v>
      </c>
      <c r="J5" s="1">
        <f>1/I5</f>
        <v>1.6949152542372883</v>
      </c>
      <c r="K5" s="19">
        <f>J5*60</f>
        <v>101.6949152542373</v>
      </c>
    </row>
    <row r="6" spans="3:11" x14ac:dyDescent="0.2">
      <c r="C6" s="3">
        <v>3</v>
      </c>
      <c r="D6" s="22">
        <v>4.8399999999999999E-2</v>
      </c>
      <c r="E6" s="22">
        <v>4.7600000000000003E-2</v>
      </c>
      <c r="F6" s="22">
        <v>5.4800000000000001E-2</v>
      </c>
      <c r="G6" s="22">
        <v>5.3400000000000003E-2</v>
      </c>
      <c r="H6" s="22">
        <v>2.0680000000000001</v>
      </c>
      <c r="I6" s="1">
        <f t="shared" ref="I6:I9" si="0">H6-H5</f>
        <v>0.57200000000000006</v>
      </c>
      <c r="J6" s="1">
        <f t="shared" ref="J6:J9" si="1">1/I6</f>
        <v>1.7482517482517481</v>
      </c>
      <c r="K6" s="19">
        <f t="shared" ref="K6:K9" si="2">J6*60</f>
        <v>104.89510489510489</v>
      </c>
    </row>
    <row r="7" spans="3:11" x14ac:dyDescent="0.2">
      <c r="C7" s="3">
        <v>4</v>
      </c>
      <c r="D7" s="22">
        <v>4.8399999999999999E-2</v>
      </c>
      <c r="E7" s="22">
        <v>4.7500000000000001E-2</v>
      </c>
      <c r="F7" s="22">
        <v>5.4800000000000001E-2</v>
      </c>
      <c r="G7" s="22">
        <v>5.33E-2</v>
      </c>
      <c r="H7" s="22">
        <v>2.6339999999999999</v>
      </c>
      <c r="I7" s="1">
        <f t="shared" si="0"/>
        <v>0.56599999999999984</v>
      </c>
      <c r="J7" s="1">
        <f t="shared" si="1"/>
        <v>1.7667844522968204</v>
      </c>
      <c r="K7" s="19">
        <f t="shared" si="2"/>
        <v>106.00706713780922</v>
      </c>
    </row>
    <row r="8" spans="3:11" x14ac:dyDescent="0.2">
      <c r="C8" s="3">
        <v>5</v>
      </c>
      <c r="D8" s="22">
        <v>4.8300000000000003E-2</v>
      </c>
      <c r="E8" s="22">
        <v>4.7399999999999998E-2</v>
      </c>
      <c r="F8" s="22">
        <v>5.4699999999999999E-2</v>
      </c>
      <c r="G8" s="22">
        <v>5.3100000000000001E-2</v>
      </c>
      <c r="H8" s="22">
        <v>3.23</v>
      </c>
      <c r="I8" s="1">
        <f t="shared" si="0"/>
        <v>0.59600000000000009</v>
      </c>
      <c r="J8" s="1">
        <f t="shared" si="1"/>
        <v>1.6778523489932884</v>
      </c>
      <c r="K8" s="19">
        <f t="shared" si="2"/>
        <v>100.67114093959731</v>
      </c>
    </row>
    <row r="9" spans="3:11" x14ac:dyDescent="0.2">
      <c r="C9" s="3">
        <v>6</v>
      </c>
      <c r="D9" s="22">
        <v>4.8300000000000003E-2</v>
      </c>
      <c r="E9" s="22">
        <v>4.7500000000000001E-2</v>
      </c>
      <c r="F9" s="22">
        <v>5.4600000000000003E-2</v>
      </c>
      <c r="G9" s="22">
        <v>5.3100000000000001E-2</v>
      </c>
      <c r="H9" s="22">
        <v>3.8479999999999999</v>
      </c>
      <c r="I9" s="1">
        <f t="shared" si="0"/>
        <v>0.61799999999999988</v>
      </c>
      <c r="J9" s="1">
        <f t="shared" si="1"/>
        <v>1.6181229773462786</v>
      </c>
      <c r="K9" s="19">
        <f t="shared" si="2"/>
        <v>97.08737864077672</v>
      </c>
    </row>
    <row r="12" spans="3:11" x14ac:dyDescent="0.2">
      <c r="C12" s="21" t="s">
        <v>0</v>
      </c>
      <c r="D12" s="21" t="s">
        <v>27</v>
      </c>
      <c r="E12" s="21" t="s">
        <v>28</v>
      </c>
      <c r="F12" s="21" t="s">
        <v>12</v>
      </c>
      <c r="G12" s="1" t="s">
        <v>29</v>
      </c>
    </row>
    <row r="13" spans="3:11" x14ac:dyDescent="0.2">
      <c r="C13" s="3">
        <v>1</v>
      </c>
      <c r="D13" s="3">
        <f>LOG(D4/E4)</f>
        <v>8.1517520195458874E-3</v>
      </c>
      <c r="E13" s="3">
        <f>LOG(F4/G4)</f>
        <v>1.3711456732641772E-2</v>
      </c>
      <c r="F13" s="6">
        <f>D13/E13</f>
        <v>0.59452122254374773</v>
      </c>
      <c r="G13" s="19">
        <f>110-(25*F13)</f>
        <v>95.136969436406304</v>
      </c>
    </row>
    <row r="14" spans="3:11" x14ac:dyDescent="0.2">
      <c r="C14" s="3">
        <v>2</v>
      </c>
      <c r="D14" s="3">
        <f t="shared" ref="D14:D17" si="3">LOG(D5/E5)</f>
        <v>8.1517520195458874E-3</v>
      </c>
      <c r="E14" s="3">
        <f t="shared" ref="E14:E17" si="4">LOG(F5/G5)</f>
        <v>1.2868926189320975E-2</v>
      </c>
      <c r="F14" s="6">
        <f t="shared" ref="F14:F17" si="5">D14/E14</f>
        <v>0.6334446168717992</v>
      </c>
      <c r="G14" s="19">
        <f t="shared" ref="G14:G17" si="6">110-(25*F14)</f>
        <v>94.163884578205014</v>
      </c>
    </row>
    <row r="15" spans="3:11" x14ac:dyDescent="0.2">
      <c r="C15" s="3">
        <v>3</v>
      </c>
      <c r="D15" s="3">
        <f t="shared" si="3"/>
        <v>7.238408923919297E-3</v>
      </c>
      <c r="E15" s="3">
        <f t="shared" si="4"/>
        <v>1.123930145581277E-2</v>
      </c>
      <c r="F15" s="6">
        <f t="shared" si="5"/>
        <v>0.64402658406993063</v>
      </c>
      <c r="G15" s="19">
        <f t="shared" si="6"/>
        <v>93.899335398251736</v>
      </c>
    </row>
    <row r="16" spans="3:11" x14ac:dyDescent="0.2">
      <c r="C16" s="3">
        <v>4</v>
      </c>
      <c r="D16" s="3">
        <f t="shared" si="3"/>
        <v>8.1517520195458874E-3</v>
      </c>
      <c r="E16" s="3">
        <f t="shared" si="4"/>
        <v>1.2053349457796949E-2</v>
      </c>
      <c r="F16" s="6">
        <f t="shared" si="5"/>
        <v>0.67630595529384274</v>
      </c>
      <c r="G16" s="19">
        <f t="shared" si="6"/>
        <v>93.092351117653934</v>
      </c>
    </row>
    <row r="17" spans="3:12" x14ac:dyDescent="0.2">
      <c r="C17" s="3">
        <v>5</v>
      </c>
      <c r="D17" s="3">
        <f t="shared" si="3"/>
        <v>8.1687890774271299E-3</v>
      </c>
      <c r="E17" s="3">
        <f t="shared" si="4"/>
        <v>1.2892805251961655E-2</v>
      </c>
      <c r="F17" s="6">
        <f t="shared" si="5"/>
        <v>0.6335928386248012</v>
      </c>
      <c r="G17" s="19">
        <f t="shared" si="6"/>
        <v>94.160179034379965</v>
      </c>
    </row>
    <row r="19" spans="3:12" x14ac:dyDescent="0.2">
      <c r="C19" s="8" t="s">
        <v>0</v>
      </c>
      <c r="D19" s="8" t="s">
        <v>6</v>
      </c>
      <c r="E19" s="8" t="s">
        <v>7</v>
      </c>
      <c r="F19" s="8" t="s">
        <v>10</v>
      </c>
      <c r="G19" s="8" t="s">
        <v>8</v>
      </c>
      <c r="H19" s="8" t="s">
        <v>9</v>
      </c>
      <c r="I19" s="8" t="s">
        <v>11</v>
      </c>
      <c r="J19" s="8" t="s">
        <v>12</v>
      </c>
      <c r="K19" s="8" t="s">
        <v>13</v>
      </c>
    </row>
    <row r="20" spans="3:12" x14ac:dyDescent="0.2">
      <c r="C20" s="3">
        <v>1</v>
      </c>
      <c r="D20" s="5">
        <f t="shared" ref="D20:D25" si="7">D4-E4</f>
        <v>8.9999999999999802E-4</v>
      </c>
      <c r="E20" s="5">
        <f t="shared" ref="E20:E25" si="8">(D4+E4)/2</f>
        <v>4.795E-2</v>
      </c>
      <c r="F20" s="5">
        <f>D20/E20</f>
        <v>1.8769551616266904E-2</v>
      </c>
      <c r="G20" s="5">
        <f t="shared" ref="G20:G25" si="9">F4-G4</f>
        <v>1.7000000000000001E-3</v>
      </c>
      <c r="H20" s="5">
        <f t="shared" ref="H20:H25" si="10">(F4+G4)/2</f>
        <v>5.3849999999999995E-2</v>
      </c>
      <c r="I20" s="5">
        <f>G20/H20</f>
        <v>3.1569173630454972E-2</v>
      </c>
      <c r="J20" s="6">
        <f>F20/I20</f>
        <v>0.59455314972704276</v>
      </c>
      <c r="K20" s="7">
        <f>110-(25*J20)</f>
        <v>95.136171256823928</v>
      </c>
    </row>
    <row r="21" spans="3:12" x14ac:dyDescent="0.2">
      <c r="C21" s="3">
        <v>2</v>
      </c>
      <c r="D21" s="5">
        <f t="shared" si="7"/>
        <v>8.9999999999999802E-4</v>
      </c>
      <c r="E21" s="5">
        <f t="shared" si="8"/>
        <v>4.795E-2</v>
      </c>
      <c r="F21" s="5">
        <f t="shared" ref="F21:F26" si="11">D21/E21</f>
        <v>1.8769551616266904E-2</v>
      </c>
      <c r="G21" s="5">
        <f t="shared" si="9"/>
        <v>1.6000000000000042E-3</v>
      </c>
      <c r="H21" s="5">
        <f t="shared" si="10"/>
        <v>5.3999999999999999E-2</v>
      </c>
      <c r="I21" s="5">
        <f t="shared" ref="I21:I26" si="12">G21/H21</f>
        <v>2.9629629629629707E-2</v>
      </c>
      <c r="J21" s="6">
        <f t="shared" ref="J21:J26" si="13">F21/I21</f>
        <v>0.63347236704900634</v>
      </c>
      <c r="K21" s="7">
        <f t="shared" ref="K21:K26" si="14">110-(25*J21)</f>
        <v>94.163190823774841</v>
      </c>
    </row>
    <row r="22" spans="3:12" x14ac:dyDescent="0.2">
      <c r="C22" s="3">
        <v>3</v>
      </c>
      <c r="D22" s="5">
        <f t="shared" si="7"/>
        <v>7.9999999999999516E-4</v>
      </c>
      <c r="E22" s="5">
        <f t="shared" si="8"/>
        <v>4.8000000000000001E-2</v>
      </c>
      <c r="F22" s="5">
        <f t="shared" si="11"/>
        <v>1.6666666666666566E-2</v>
      </c>
      <c r="G22" s="5">
        <f t="shared" si="9"/>
        <v>1.3999999999999985E-3</v>
      </c>
      <c r="H22" s="5">
        <f t="shared" si="10"/>
        <v>5.4100000000000002E-2</v>
      </c>
      <c r="I22" s="5">
        <f t="shared" si="12"/>
        <v>2.5878003696857641E-2</v>
      </c>
      <c r="J22" s="6">
        <f t="shared" si="13"/>
        <v>0.64404761904761587</v>
      </c>
      <c r="K22" s="7">
        <f t="shared" si="14"/>
        <v>93.898809523809604</v>
      </c>
    </row>
    <row r="23" spans="3:12" x14ac:dyDescent="0.2">
      <c r="C23" s="3">
        <v>4</v>
      </c>
      <c r="D23" s="5">
        <f t="shared" si="7"/>
        <v>8.9999999999999802E-4</v>
      </c>
      <c r="E23" s="5">
        <f t="shared" si="8"/>
        <v>4.795E-2</v>
      </c>
      <c r="F23" s="5">
        <f t="shared" si="11"/>
        <v>1.8769551616266904E-2</v>
      </c>
      <c r="G23" s="5">
        <f t="shared" si="9"/>
        <v>1.5000000000000013E-3</v>
      </c>
      <c r="H23" s="5">
        <f t="shared" si="10"/>
        <v>5.4050000000000001E-2</v>
      </c>
      <c r="I23" s="5">
        <f t="shared" si="12"/>
        <v>2.775208140610548E-2</v>
      </c>
      <c r="J23" s="6">
        <f t="shared" si="13"/>
        <v>0.67632950990615026</v>
      </c>
      <c r="K23" s="7">
        <f t="shared" si="14"/>
        <v>93.091762252346243</v>
      </c>
    </row>
    <row r="24" spans="3:12" x14ac:dyDescent="0.2">
      <c r="C24" s="3">
        <v>5</v>
      </c>
      <c r="D24" s="5">
        <f t="shared" si="7"/>
        <v>9.0000000000000496E-4</v>
      </c>
      <c r="E24" s="5">
        <f t="shared" si="8"/>
        <v>4.7850000000000004E-2</v>
      </c>
      <c r="F24" s="5">
        <f t="shared" si="11"/>
        <v>1.8808777429467186E-2</v>
      </c>
      <c r="G24" s="5">
        <f t="shared" si="9"/>
        <v>1.5999999999999973E-3</v>
      </c>
      <c r="H24" s="5">
        <f t="shared" si="10"/>
        <v>5.3900000000000003E-2</v>
      </c>
      <c r="I24" s="5">
        <f t="shared" si="12"/>
        <v>2.968460111317249E-2</v>
      </c>
      <c r="J24" s="6">
        <f t="shared" si="13"/>
        <v>0.63362068965517693</v>
      </c>
      <c r="K24" s="7">
        <f t="shared" si="14"/>
        <v>94.159482758620584</v>
      </c>
    </row>
    <row r="25" spans="3:12" x14ac:dyDescent="0.2">
      <c r="C25" s="3">
        <v>6</v>
      </c>
      <c r="D25" s="5">
        <f t="shared" si="7"/>
        <v>8.000000000000021E-4</v>
      </c>
      <c r="E25" s="5">
        <f t="shared" si="8"/>
        <v>4.7899999999999998E-2</v>
      </c>
      <c r="F25" s="5">
        <f t="shared" si="11"/>
        <v>1.6701461377870607E-2</v>
      </c>
      <c r="G25" s="5">
        <f t="shared" si="9"/>
        <v>1.5000000000000013E-3</v>
      </c>
      <c r="H25" s="5">
        <f t="shared" si="10"/>
        <v>5.3850000000000002E-2</v>
      </c>
      <c r="I25" s="5">
        <f t="shared" si="12"/>
        <v>2.7855153203342642E-2</v>
      </c>
      <c r="J25" s="6">
        <f t="shared" si="13"/>
        <v>0.59958246346555433</v>
      </c>
      <c r="K25" s="7">
        <f t="shared" si="14"/>
        <v>95.010438413361143</v>
      </c>
    </row>
    <row r="26" spans="3:12" x14ac:dyDescent="0.2">
      <c r="C26" s="8" t="s">
        <v>14</v>
      </c>
      <c r="D26" s="9">
        <f>AVERAGE(D20:D25)</f>
        <v>8.6666666666666608E-4</v>
      </c>
      <c r="E26" s="9">
        <f>AVERAGE(E20:E25)</f>
        <v>4.7933333333333328E-2</v>
      </c>
      <c r="F26" s="8">
        <f t="shared" si="11"/>
        <v>1.8080667593880381E-2</v>
      </c>
      <c r="G26" s="9">
        <f>AVERAGE(G20:G25)</f>
        <v>1.5500000000000004E-3</v>
      </c>
      <c r="H26" s="9">
        <f>AVERAGE(H20:H25)</f>
        <v>5.3958333333333337E-2</v>
      </c>
      <c r="I26" s="8">
        <f t="shared" si="12"/>
        <v>2.8725868725868731E-2</v>
      </c>
      <c r="J26" s="10">
        <f t="shared" si="13"/>
        <v>0.62942108962567445</v>
      </c>
      <c r="K26" s="11">
        <f t="shared" si="14"/>
        <v>94.264472759358142</v>
      </c>
    </row>
    <row r="29" spans="3:12" x14ac:dyDescent="0.2">
      <c r="C29" s="8" t="s">
        <v>0</v>
      </c>
      <c r="D29" s="8" t="s">
        <v>10</v>
      </c>
      <c r="E29" s="8" t="s">
        <v>11</v>
      </c>
      <c r="F29" s="8" t="s">
        <v>12</v>
      </c>
      <c r="G29" s="8" t="s">
        <v>13</v>
      </c>
    </row>
    <row r="30" spans="3:12" x14ac:dyDescent="0.2">
      <c r="C30" s="3">
        <v>1</v>
      </c>
      <c r="D30" s="3">
        <f t="shared" ref="D30:D35" si="15">LOG(D4/E4)</f>
        <v>8.1517520195458874E-3</v>
      </c>
      <c r="E30" s="3">
        <f t="shared" ref="E30:E35" si="16">LOG(F4/G4)</f>
        <v>1.3711456732641772E-2</v>
      </c>
      <c r="F30" s="6">
        <f>D30/E30</f>
        <v>0.59452122254374773</v>
      </c>
      <c r="G30" s="7">
        <f>110-(25*F30)</f>
        <v>95.136969436406304</v>
      </c>
    </row>
    <row r="31" spans="3:12" x14ac:dyDescent="0.2">
      <c r="C31" s="3">
        <v>2</v>
      </c>
      <c r="D31" s="3">
        <f t="shared" si="15"/>
        <v>8.1517520195458874E-3</v>
      </c>
      <c r="E31" s="3">
        <f t="shared" si="16"/>
        <v>1.2868926189320975E-2</v>
      </c>
      <c r="F31" s="6">
        <f t="shared" ref="F31:F36" si="17">D31/E31</f>
        <v>0.6334446168717992</v>
      </c>
      <c r="G31" s="7">
        <f t="shared" ref="G31:G36" si="18">110-(25*F31)</f>
        <v>94.163884578205014</v>
      </c>
    </row>
    <row r="32" spans="3:12" x14ac:dyDescent="0.2">
      <c r="C32" s="3">
        <v>3</v>
      </c>
      <c r="D32" s="3">
        <f t="shared" si="15"/>
        <v>7.238408923919297E-3</v>
      </c>
      <c r="E32" s="3">
        <f t="shared" si="16"/>
        <v>1.123930145581277E-2</v>
      </c>
      <c r="F32" s="6">
        <f t="shared" si="17"/>
        <v>0.64402658406993063</v>
      </c>
      <c r="G32" s="7">
        <f t="shared" si="18"/>
        <v>93.899335398251736</v>
      </c>
      <c r="I32" s="20">
        <f>D8*2.1</f>
        <v>0.10143000000000001</v>
      </c>
      <c r="J32" s="20">
        <f t="shared" ref="J32:L32" si="19">E8*2.1</f>
        <v>9.9540000000000003E-2</v>
      </c>
      <c r="K32" s="20">
        <f t="shared" si="19"/>
        <v>0.11487</v>
      </c>
      <c r="L32" s="20">
        <f t="shared" si="19"/>
        <v>0.11151000000000001</v>
      </c>
    </row>
    <row r="33" spans="3:12" x14ac:dyDescent="0.2">
      <c r="C33" s="3">
        <v>4</v>
      </c>
      <c r="D33" s="3">
        <f t="shared" si="15"/>
        <v>8.1517520195458874E-3</v>
      </c>
      <c r="E33" s="3">
        <f t="shared" si="16"/>
        <v>1.2053349457796949E-2</v>
      </c>
      <c r="F33" s="6">
        <f t="shared" si="17"/>
        <v>0.67630595529384274</v>
      </c>
      <c r="G33" s="7">
        <f t="shared" si="18"/>
        <v>93.092351117653934</v>
      </c>
      <c r="I33" s="20">
        <f>D9*2.1</f>
        <v>0.10143000000000001</v>
      </c>
      <c r="J33" s="20">
        <f t="shared" ref="J33" si="20">E9*2.1</f>
        <v>9.9750000000000005E-2</v>
      </c>
      <c r="K33" s="20">
        <f t="shared" ref="K33" si="21">F9*2.1</f>
        <v>0.11466000000000001</v>
      </c>
      <c r="L33" s="20">
        <f t="shared" ref="L33" si="22">G9*2.1</f>
        <v>0.11151000000000001</v>
      </c>
    </row>
    <row r="34" spans="3:12" x14ac:dyDescent="0.2">
      <c r="C34" s="3">
        <v>5</v>
      </c>
      <c r="D34" s="3">
        <f t="shared" si="15"/>
        <v>8.1687890774271299E-3</v>
      </c>
      <c r="E34" s="3">
        <f t="shared" si="16"/>
        <v>1.2892805251961655E-2</v>
      </c>
      <c r="F34" s="6">
        <f t="shared" si="17"/>
        <v>0.6335928386248012</v>
      </c>
      <c r="G34" s="7">
        <f t="shared" si="18"/>
        <v>94.160179034379965</v>
      </c>
    </row>
    <row r="35" spans="3:12" x14ac:dyDescent="0.2">
      <c r="C35" s="3">
        <v>6</v>
      </c>
      <c r="D35" s="3">
        <f t="shared" si="15"/>
        <v>7.2535211266456174E-3</v>
      </c>
      <c r="E35" s="3">
        <f t="shared" si="16"/>
        <v>1.2098121623268199E-2</v>
      </c>
      <c r="F35" s="6">
        <f t="shared" si="17"/>
        <v>0.59955762989644534</v>
      </c>
      <c r="G35" s="7">
        <f t="shared" si="18"/>
        <v>95.011059252588865</v>
      </c>
      <c r="I35" s="3">
        <f>LOG(I32/J32)</f>
        <v>8.1687890774271299E-3</v>
      </c>
      <c r="J35" s="1">
        <f>LOG(K32/L32)</f>
        <v>1.2892805251961655E-2</v>
      </c>
      <c r="K35" s="1">
        <f>I35/J35</f>
        <v>0.6335928386248012</v>
      </c>
    </row>
    <row r="36" spans="3:12" x14ac:dyDescent="0.2">
      <c r="C36" s="8" t="s">
        <v>14</v>
      </c>
      <c r="D36" s="8">
        <f>AVERAGE(D30:D35)</f>
        <v>7.8526625311049515E-3</v>
      </c>
      <c r="E36" s="8">
        <f>AVERAGE(E30:E35)</f>
        <v>1.2477326785133721E-2</v>
      </c>
      <c r="F36" s="10">
        <f t="shared" si="17"/>
        <v>0.62935456178490989</v>
      </c>
      <c r="G36" s="11">
        <f t="shared" si="18"/>
        <v>94.266135955377251</v>
      </c>
    </row>
    <row r="39" spans="3:12" x14ac:dyDescent="0.2">
      <c r="C39" s="8" t="s">
        <v>0</v>
      </c>
      <c r="D39" s="8" t="s">
        <v>15</v>
      </c>
      <c r="E39" s="8" t="s">
        <v>16</v>
      </c>
    </row>
    <row r="40" spans="3:12" x14ac:dyDescent="0.2">
      <c r="C40" s="3">
        <v>1</v>
      </c>
      <c r="D40" s="6">
        <f>H5-H4</f>
        <v>0.59</v>
      </c>
      <c r="E40" s="7">
        <f>(1/D40)*60</f>
        <v>101.6949152542373</v>
      </c>
    </row>
    <row r="41" spans="3:12" x14ac:dyDescent="0.2">
      <c r="C41" s="3">
        <v>2</v>
      </c>
      <c r="D41" s="6">
        <f>H6-H5</f>
        <v>0.57200000000000006</v>
      </c>
      <c r="E41" s="7">
        <f t="shared" ref="E41:E45" si="23">(1/D41)*60</f>
        <v>104.89510489510489</v>
      </c>
      <c r="G41" s="1" t="s">
        <v>30</v>
      </c>
    </row>
    <row r="42" spans="3:12" x14ac:dyDescent="0.2">
      <c r="C42" s="3">
        <v>3</v>
      </c>
      <c r="D42" s="6">
        <f>H7-H6</f>
        <v>0.56599999999999984</v>
      </c>
      <c r="E42" s="7">
        <f t="shared" si="23"/>
        <v>106.00706713780922</v>
      </c>
    </row>
    <row r="43" spans="3:12" x14ac:dyDescent="0.2">
      <c r="C43" s="3">
        <v>4</v>
      </c>
      <c r="D43" s="6">
        <f>H8-H7</f>
        <v>0.59600000000000009</v>
      </c>
      <c r="E43" s="7">
        <f t="shared" si="23"/>
        <v>100.67114093959731</v>
      </c>
    </row>
    <row r="44" spans="3:12" x14ac:dyDescent="0.2">
      <c r="C44" s="3">
        <v>5</v>
      </c>
      <c r="D44" s="6">
        <f>H9-H8</f>
        <v>0.61799999999999988</v>
      </c>
      <c r="E44" s="7">
        <f t="shared" si="23"/>
        <v>97.08737864077672</v>
      </c>
    </row>
    <row r="45" spans="3:12" x14ac:dyDescent="0.2">
      <c r="C45" s="8" t="s">
        <v>14</v>
      </c>
      <c r="D45" s="10">
        <f>AVERAGE(D40:D44)</f>
        <v>0.58839999999999992</v>
      </c>
      <c r="E45" s="11">
        <f t="shared" si="23"/>
        <v>101.97144799456153</v>
      </c>
    </row>
    <row r="48" spans="3:12" x14ac:dyDescent="0.2">
      <c r="C48" s="8" t="s">
        <v>0</v>
      </c>
      <c r="D48" s="8" t="s">
        <v>8</v>
      </c>
      <c r="E48" s="8" t="s">
        <v>9</v>
      </c>
      <c r="F48" s="8" t="s">
        <v>18</v>
      </c>
    </row>
    <row r="49" spans="3:6" x14ac:dyDescent="0.2">
      <c r="C49" s="3">
        <v>1</v>
      </c>
      <c r="D49" s="5">
        <f>G20</f>
        <v>1.7000000000000001E-3</v>
      </c>
      <c r="E49" s="5">
        <f>H20</f>
        <v>5.3849999999999995E-2</v>
      </c>
      <c r="F49" s="12">
        <f t="shared" ref="F49:F55" si="24">(D49/E49)*100</f>
        <v>3.1569173630454972</v>
      </c>
    </row>
    <row r="50" spans="3:6" x14ac:dyDescent="0.2">
      <c r="C50" s="3">
        <v>2</v>
      </c>
      <c r="D50" s="5">
        <f t="shared" ref="D50:D54" si="25">G21</f>
        <v>1.6000000000000042E-3</v>
      </c>
      <c r="E50" s="5">
        <f t="shared" ref="E50:E54" si="26">H21</f>
        <v>5.3999999999999999E-2</v>
      </c>
      <c r="F50" s="12">
        <f t="shared" si="24"/>
        <v>2.9629629629629708</v>
      </c>
    </row>
    <row r="51" spans="3:6" x14ac:dyDescent="0.2">
      <c r="C51" s="3">
        <v>3</v>
      </c>
      <c r="D51" s="5">
        <f t="shared" si="25"/>
        <v>1.3999999999999985E-3</v>
      </c>
      <c r="E51" s="5">
        <f t="shared" si="26"/>
        <v>5.4100000000000002E-2</v>
      </c>
      <c r="F51" s="12">
        <f t="shared" si="24"/>
        <v>2.5878003696857643</v>
      </c>
    </row>
    <row r="52" spans="3:6" x14ac:dyDescent="0.2">
      <c r="C52" s="3">
        <v>4</v>
      </c>
      <c r="D52" s="5">
        <f t="shared" si="25"/>
        <v>1.5000000000000013E-3</v>
      </c>
      <c r="E52" s="5">
        <f t="shared" si="26"/>
        <v>5.4050000000000001E-2</v>
      </c>
      <c r="F52" s="12">
        <f t="shared" si="24"/>
        <v>2.7752081406105482</v>
      </c>
    </row>
    <row r="53" spans="3:6" x14ac:dyDescent="0.2">
      <c r="C53" s="3">
        <v>5</v>
      </c>
      <c r="D53" s="5">
        <f t="shared" si="25"/>
        <v>1.5999999999999973E-3</v>
      </c>
      <c r="E53" s="5">
        <f t="shared" si="26"/>
        <v>5.3900000000000003E-2</v>
      </c>
      <c r="F53" s="12">
        <f t="shared" si="24"/>
        <v>2.9684601113172491</v>
      </c>
    </row>
    <row r="54" spans="3:6" x14ac:dyDescent="0.2">
      <c r="C54" s="3">
        <v>6</v>
      </c>
      <c r="D54" s="5">
        <f t="shared" si="25"/>
        <v>1.5000000000000013E-3</v>
      </c>
      <c r="E54" s="5">
        <f t="shared" si="26"/>
        <v>5.3850000000000002E-2</v>
      </c>
      <c r="F54" s="12">
        <f t="shared" si="24"/>
        <v>2.7855153203342642</v>
      </c>
    </row>
    <row r="55" spans="3:6" x14ac:dyDescent="0.2">
      <c r="C55" s="8" t="s">
        <v>14</v>
      </c>
      <c r="D55" s="9">
        <f>AVERAGE(D49:D54)</f>
        <v>1.5500000000000004E-3</v>
      </c>
      <c r="E55" s="9">
        <f>AVERAGE(E49:E54)</f>
        <v>5.3958333333333337E-2</v>
      </c>
      <c r="F55" s="13">
        <f t="shared" si="24"/>
        <v>2.8725868725868731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0"/>
  <sheetViews>
    <sheetView workbookViewId="0">
      <selection activeCell="F19" sqref="F19"/>
    </sheetView>
  </sheetViews>
  <sheetFormatPr defaultRowHeight="14.25" x14ac:dyDescent="0.2"/>
  <sheetData>
    <row r="8" spans="4:6" x14ac:dyDescent="0.2">
      <c r="D8">
        <v>1</v>
      </c>
      <c r="E8">
        <v>0.13</v>
      </c>
      <c r="F8">
        <v>0.121</v>
      </c>
    </row>
    <row r="9" spans="4:6" x14ac:dyDescent="0.2">
      <c r="D9">
        <v>2</v>
      </c>
    </row>
    <row r="10" spans="4:6" x14ac:dyDescent="0.2">
      <c r="D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0"/>
  <sheetViews>
    <sheetView topLeftCell="C1" zoomScale="90" zoomScaleNormal="90" workbookViewId="0">
      <selection activeCell="J22" sqref="J22"/>
    </sheetView>
  </sheetViews>
  <sheetFormatPr defaultRowHeight="14.25" x14ac:dyDescent="0.2"/>
  <cols>
    <col min="2" max="2" width="15" customWidth="1"/>
    <col min="3" max="3" width="8.25" style="2" customWidth="1"/>
    <col min="4" max="17" width="12.5" style="2" customWidth="1"/>
    <col min="18" max="18" width="9.5" customWidth="1"/>
  </cols>
  <sheetData>
    <row r="3" spans="3:17" x14ac:dyDescent="0.2">
      <c r="C3" s="25" t="s">
        <v>19</v>
      </c>
      <c r="D3" s="23" t="s">
        <v>21</v>
      </c>
      <c r="E3" s="23"/>
      <c r="F3" s="23"/>
      <c r="G3" s="23"/>
      <c r="H3" s="23"/>
      <c r="I3" s="23"/>
      <c r="J3" s="23"/>
      <c r="K3" s="23"/>
      <c r="L3" s="24" t="s">
        <v>22</v>
      </c>
      <c r="M3" s="24"/>
      <c r="N3" s="24"/>
      <c r="O3" s="24"/>
      <c r="P3" s="24"/>
      <c r="Q3" s="24"/>
    </row>
    <row r="4" spans="3:17" x14ac:dyDescent="0.2">
      <c r="C4" s="25"/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20</v>
      </c>
      <c r="L4" s="15" t="s">
        <v>10</v>
      </c>
      <c r="M4" s="15" t="s">
        <v>11</v>
      </c>
      <c r="N4" s="15" t="s">
        <v>12</v>
      </c>
      <c r="O4" s="15" t="s">
        <v>20</v>
      </c>
      <c r="P4" s="15" t="s">
        <v>23</v>
      </c>
      <c r="Q4" s="15" t="s">
        <v>17</v>
      </c>
    </row>
    <row r="5" spans="3:17" x14ac:dyDescent="0.2">
      <c r="C5" s="16">
        <v>1</v>
      </c>
      <c r="D5" s="17">
        <v>1.5600000000000099E-3</v>
      </c>
      <c r="E5" s="16">
        <v>0.13611000000000001</v>
      </c>
      <c r="F5" s="16">
        <v>2.4899999999999901E-3</v>
      </c>
      <c r="G5" s="16">
        <v>0.12761500000000001</v>
      </c>
      <c r="H5" s="17">
        <v>1.1461318051576E-2</v>
      </c>
      <c r="I5" s="17">
        <v>1.9511812874661999E-2</v>
      </c>
      <c r="J5" s="17">
        <v>0.58740405749071201</v>
      </c>
      <c r="K5" s="18">
        <v>95.314898562732196</v>
      </c>
      <c r="L5" s="17">
        <v>1.14614435190066E-2</v>
      </c>
      <c r="M5" s="17">
        <v>1.9512431939907E-2</v>
      </c>
      <c r="N5" s="17">
        <v>0.58740405749071201</v>
      </c>
      <c r="O5" s="18">
        <v>95.314898562732196</v>
      </c>
      <c r="P5" s="17">
        <v>89.020771513353097</v>
      </c>
      <c r="Q5" s="18">
        <v>1.9511812874662</v>
      </c>
    </row>
    <row r="6" spans="3:17" x14ac:dyDescent="0.2">
      <c r="C6" s="16">
        <v>2</v>
      </c>
      <c r="D6" s="17">
        <v>1.64E-3</v>
      </c>
      <c r="E6" s="16">
        <v>0.13583000000000001</v>
      </c>
      <c r="F6" s="16">
        <v>2.47E-3</v>
      </c>
      <c r="G6" s="16">
        <v>0.12715499999999999</v>
      </c>
      <c r="H6" s="17">
        <v>1.20739159243172E-2</v>
      </c>
      <c r="I6" s="17">
        <v>1.9425111084896401E-2</v>
      </c>
      <c r="J6" s="17">
        <v>0.621562258848806</v>
      </c>
      <c r="K6" s="18">
        <v>94.460943528779893</v>
      </c>
      <c r="L6" s="17">
        <v>1.20740626049223E-2</v>
      </c>
      <c r="M6" s="17">
        <v>1.9425721933899302E-2</v>
      </c>
      <c r="N6" s="17">
        <v>0.621562258848806</v>
      </c>
      <c r="O6" s="18">
        <v>94.460943528779893</v>
      </c>
      <c r="P6" s="18">
        <v>78.534031413612595</v>
      </c>
      <c r="Q6" s="18">
        <v>1.94251110848964</v>
      </c>
    </row>
    <row r="7" spans="3:17" x14ac:dyDescent="0.2">
      <c r="C7" s="16">
        <v>3</v>
      </c>
      <c r="D7" s="17">
        <v>1.75E-3</v>
      </c>
      <c r="E7" s="16">
        <v>0.13630500000000001</v>
      </c>
      <c r="F7" s="16">
        <v>2.99000000000002E-3</v>
      </c>
      <c r="G7" s="16">
        <v>0.12787499999999999</v>
      </c>
      <c r="H7" s="17">
        <v>1.28388540405708E-2</v>
      </c>
      <c r="I7" s="17">
        <v>2.3382209188661001E-2</v>
      </c>
      <c r="J7" s="17">
        <v>0.54908644161805298</v>
      </c>
      <c r="K7" s="18">
        <v>96.272838959548693</v>
      </c>
      <c r="L7" s="17">
        <v>1.28390304038953E-2</v>
      </c>
      <c r="M7" s="17">
        <v>2.3383274584501498E-2</v>
      </c>
      <c r="N7" s="17">
        <v>0.54908644161805298</v>
      </c>
      <c r="O7" s="18">
        <v>96.272838959548693</v>
      </c>
      <c r="P7" s="18">
        <v>83.102493074792307</v>
      </c>
      <c r="Q7" s="18">
        <v>2.3382209188660998</v>
      </c>
    </row>
    <row r="8" spans="3:17" x14ac:dyDescent="0.2">
      <c r="C8" s="16">
        <v>4</v>
      </c>
      <c r="D8" s="17">
        <v>1.8E-3</v>
      </c>
      <c r="E8" s="16">
        <v>0.13639999999999999</v>
      </c>
      <c r="F8" s="16">
        <v>3.2200000000000002E-3</v>
      </c>
      <c r="G8" s="16">
        <v>0.12756000000000001</v>
      </c>
      <c r="H8" s="17">
        <v>1.31964809384164E-2</v>
      </c>
      <c r="I8" s="17">
        <v>2.5243022891188498E-2</v>
      </c>
      <c r="J8" s="17">
        <v>0.522777362889564</v>
      </c>
      <c r="K8" s="18">
        <v>96.930565927760895</v>
      </c>
      <c r="L8" s="17">
        <v>1.31966724541698E-2</v>
      </c>
      <c r="M8" s="17">
        <v>2.5244363445305E-2</v>
      </c>
      <c r="N8" s="17">
        <v>0.522777362889564</v>
      </c>
      <c r="O8" s="18">
        <v>96.930565927760895</v>
      </c>
      <c r="P8" s="18">
        <v>85.714285714285694</v>
      </c>
      <c r="Q8" s="18">
        <v>2.5243022891188498</v>
      </c>
    </row>
    <row r="9" spans="3:17" x14ac:dyDescent="0.2">
      <c r="C9" s="16">
        <v>5</v>
      </c>
      <c r="D9" s="17">
        <v>1.72999999999998E-3</v>
      </c>
      <c r="E9" s="16">
        <v>0.13586500000000001</v>
      </c>
      <c r="F9" s="16">
        <v>2.8400000000000101E-3</v>
      </c>
      <c r="G9" s="16">
        <v>0.12597</v>
      </c>
      <c r="H9" s="17">
        <v>1.27332278364552E-2</v>
      </c>
      <c r="I9" s="17">
        <v>2.2545050408827601E-2</v>
      </c>
      <c r="J9" s="17">
        <v>0.56479039104163797</v>
      </c>
      <c r="K9" s="18">
        <v>95.880240223959106</v>
      </c>
      <c r="L9" s="17">
        <v>1.27333998825606E-2</v>
      </c>
      <c r="M9" s="17">
        <v>2.2546005413506199E-2</v>
      </c>
      <c r="N9" s="17">
        <v>0.56479039104163797</v>
      </c>
      <c r="O9" s="18">
        <v>95.880240223959106</v>
      </c>
      <c r="P9" s="18">
        <v>78.947368421052602</v>
      </c>
      <c r="Q9" s="18">
        <v>2.2545050408827598</v>
      </c>
    </row>
    <row r="10" spans="3:17" x14ac:dyDescent="0.2">
      <c r="C10" s="16">
        <v>6</v>
      </c>
      <c r="D10" s="17">
        <v>1.58E-3</v>
      </c>
      <c r="E10" s="16">
        <v>0.13617000000000001</v>
      </c>
      <c r="F10" s="16">
        <v>2.7299999999999998E-3</v>
      </c>
      <c r="G10" s="16">
        <v>0.12615499999999999</v>
      </c>
      <c r="H10" s="17">
        <v>1.1603143129911101E-2</v>
      </c>
      <c r="I10" s="17">
        <v>2.16400459751892E-2</v>
      </c>
      <c r="J10" s="17">
        <v>0.53618846943367804</v>
      </c>
      <c r="K10" s="18">
        <v>96.5952882641581</v>
      </c>
      <c r="L10" s="17">
        <v>1.16032733129704E-2</v>
      </c>
      <c r="M10" s="17">
        <v>2.1640890522141899E-2</v>
      </c>
      <c r="N10" s="17">
        <v>0.53618846943367804</v>
      </c>
      <c r="O10" s="18">
        <v>96.5952882641581</v>
      </c>
      <c r="P10" s="18">
        <v>80.645161290322605</v>
      </c>
      <c r="Q10" s="18">
        <v>2.1640045975189199</v>
      </c>
    </row>
  </sheetData>
  <mergeCells count="3">
    <mergeCell ref="D3:K3"/>
    <mergeCell ref="L3:Q3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</vt:lpstr>
      <vt:lpstr>Sheet1</vt:lpstr>
      <vt:lpstr>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Theera Leeudomwong</dc:creator>
  <cp:lastModifiedBy>medlab2</cp:lastModifiedBy>
  <dcterms:created xsi:type="dcterms:W3CDTF">2022-02-23T05:28:26Z</dcterms:created>
  <dcterms:modified xsi:type="dcterms:W3CDTF">2011-09-10T02:46:53Z</dcterms:modified>
</cp:coreProperties>
</file>