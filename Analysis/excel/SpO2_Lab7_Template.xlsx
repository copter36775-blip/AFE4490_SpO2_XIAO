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450" tabRatio="600" firstSheet="0" activeTab="0" autoFilterDateGrouping="1"/>
  </bookViews>
  <sheets>
    <sheet name="Manual" sheetId="1" state="visible" r:id="rId1"/>
    <sheet name="Sheet1" sheetId="2" state="visible" r:id="rId2"/>
    <sheet name="Matlab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5">
    <numFmt numFmtId="164" formatCode="0.00000000"/>
    <numFmt numFmtId="165" formatCode="0.000"/>
    <numFmt numFmtId="166" formatCode="0.0"/>
    <numFmt numFmtId="167" formatCode="0.00000"/>
    <numFmt numFmtId="168" formatCode="0.0000"/>
  </numFmts>
  <fonts count="1">
    <font>
      <name val="Tahoma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6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8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167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L55"/>
  <sheetViews>
    <sheetView tabSelected="1" topLeftCell="A16" zoomScaleNormal="100" workbookViewId="0">
      <selection activeCell="J12" sqref="J12"/>
    </sheetView>
  </sheetViews>
  <sheetFormatPr baseColWidth="8" defaultRowHeight="14.25"/>
  <cols>
    <col width="8.75" customWidth="1" style="1" min="3" max="3"/>
    <col width="16" customWidth="1" style="1" min="4" max="11"/>
    <col width="9.5" bestFit="1" customWidth="1" min="12" max="12"/>
  </cols>
  <sheetData>
    <row r="3">
      <c r="C3" s="4" t="inlineStr">
        <is>
          <t>No.</t>
        </is>
      </c>
      <c r="D3" s="4" t="inlineStr">
        <is>
          <t>Max. Red</t>
        </is>
      </c>
      <c r="E3" s="4" t="inlineStr">
        <is>
          <t>Min. Red</t>
        </is>
      </c>
      <c r="F3" s="4" t="inlineStr">
        <is>
          <t>Max IR</t>
        </is>
      </c>
      <c r="G3" s="4" t="inlineStr">
        <is>
          <t>Min IR</t>
        </is>
      </c>
      <c r="H3" s="4" t="inlineStr">
        <is>
          <t>Max. IR Time</t>
        </is>
      </c>
    </row>
    <row r="4">
      <c r="C4" s="3" t="n">
        <v>1</v>
      </c>
      <c r="D4" s="26" t="n"/>
      <c r="E4" s="26" t="n"/>
      <c r="F4" s="26" t="n"/>
      <c r="G4" s="26" t="n"/>
      <c r="H4" s="26" t="n"/>
      <c r="I4" s="1" t="inlineStr">
        <is>
          <t>Period</t>
        </is>
      </c>
      <c r="J4" s="1" t="inlineStr">
        <is>
          <t>Frequency</t>
        </is>
      </c>
      <c r="K4" s="1" t="inlineStr">
        <is>
          <t>Pulse Rate</t>
        </is>
      </c>
    </row>
    <row r="5">
      <c r="C5" s="3" t="n">
        <v>2</v>
      </c>
      <c r="D5" s="26" t="n"/>
      <c r="E5" s="26" t="n"/>
      <c r="F5" s="26" t="n"/>
      <c r="G5" s="26" t="n"/>
      <c r="H5" s="26" t="n"/>
      <c r="I5" s="1">
        <f>H5-H4</f>
        <v/>
      </c>
      <c r="J5" s="1">
        <f>1/I5</f>
        <v/>
      </c>
      <c r="K5" s="27">
        <f>J5*60</f>
        <v/>
      </c>
    </row>
    <row r="6">
      <c r="C6" s="3" t="n">
        <v>3</v>
      </c>
      <c r="D6" s="26" t="n"/>
      <c r="E6" s="26" t="n"/>
      <c r="F6" s="26" t="n"/>
      <c r="G6" s="26" t="n"/>
      <c r="H6" s="26" t="n"/>
      <c r="I6" s="1">
        <f>H6-H5</f>
        <v/>
      </c>
      <c r="J6" s="1">
        <f>1/I6</f>
        <v/>
      </c>
      <c r="K6" s="27">
        <f>J6*60</f>
        <v/>
      </c>
    </row>
    <row r="7">
      <c r="C7" s="3" t="n">
        <v>4</v>
      </c>
      <c r="D7" s="26" t="n"/>
      <c r="E7" s="26" t="n"/>
      <c r="F7" s="26" t="n"/>
      <c r="G7" s="26" t="n"/>
      <c r="H7" s="26" t="n"/>
      <c r="I7" s="1">
        <f>H7-H6</f>
        <v/>
      </c>
      <c r="J7" s="1">
        <f>1/I7</f>
        <v/>
      </c>
      <c r="K7" s="27">
        <f>J7*60</f>
        <v/>
      </c>
    </row>
    <row r="8">
      <c r="C8" s="3" t="n">
        <v>5</v>
      </c>
      <c r="D8" s="26" t="n"/>
      <c r="E8" s="26" t="n"/>
      <c r="F8" s="26" t="n"/>
      <c r="G8" s="26" t="n"/>
      <c r="H8" s="26" t="n"/>
      <c r="I8" s="1">
        <f>H8-H7</f>
        <v/>
      </c>
      <c r="J8" s="1">
        <f>1/I8</f>
        <v/>
      </c>
      <c r="K8" s="27">
        <f>J8*60</f>
        <v/>
      </c>
    </row>
    <row r="9">
      <c r="C9" s="3" t="n">
        <v>6</v>
      </c>
      <c r="D9" s="26" t="n"/>
      <c r="E9" s="26" t="n"/>
      <c r="F9" s="26" t="n"/>
      <c r="G9" s="26" t="n"/>
      <c r="H9" s="26" t="n"/>
      <c r="I9" s="1">
        <f>H9-H8</f>
        <v/>
      </c>
      <c r="J9" s="1">
        <f>1/I9</f>
        <v/>
      </c>
      <c r="K9" s="27">
        <f>J9*60</f>
        <v/>
      </c>
    </row>
    <row r="12">
      <c r="C12" s="21" t="inlineStr">
        <is>
          <t>No.</t>
        </is>
      </c>
      <c r="D12" s="21" t="inlineStr">
        <is>
          <t>Ared</t>
        </is>
      </c>
      <c r="E12" s="21" t="inlineStr">
        <is>
          <t>Air</t>
        </is>
      </c>
      <c r="F12" s="21" t="inlineStr">
        <is>
          <t>R</t>
        </is>
      </c>
      <c r="G12" s="1" t="inlineStr">
        <is>
          <t>SPO2</t>
        </is>
      </c>
    </row>
    <row r="13">
      <c r="C13" s="3" t="n">
        <v>1</v>
      </c>
      <c r="D13" s="3">
        <f>LOG(D4/E4)</f>
        <v/>
      </c>
      <c r="E13" s="3">
        <f>LOG(F4/G4)</f>
        <v/>
      </c>
      <c r="F13" s="28">
        <f>D13/E13</f>
        <v/>
      </c>
      <c r="G13" s="27">
        <f>110-(25*F13)</f>
        <v/>
      </c>
    </row>
    <row r="14">
      <c r="C14" s="3" t="n">
        <v>2</v>
      </c>
      <c r="D14" s="3">
        <f>LOG(D5/E5)</f>
        <v/>
      </c>
      <c r="E14" s="3">
        <f>LOG(F5/G5)</f>
        <v/>
      </c>
      <c r="F14" s="28">
        <f>D14/E14</f>
        <v/>
      </c>
      <c r="G14" s="27">
        <f>110-(25*F14)</f>
        <v/>
      </c>
    </row>
    <row r="15">
      <c r="C15" s="3" t="n">
        <v>3</v>
      </c>
      <c r="D15" s="3">
        <f>LOG(D6/E6)</f>
        <v/>
      </c>
      <c r="E15" s="3">
        <f>LOG(F6/G6)</f>
        <v/>
      </c>
      <c r="F15" s="28">
        <f>D15/E15</f>
        <v/>
      </c>
      <c r="G15" s="27">
        <f>110-(25*F15)</f>
        <v/>
      </c>
    </row>
    <row r="16">
      <c r="C16" s="3" t="n">
        <v>4</v>
      </c>
      <c r="D16" s="3">
        <f>LOG(D7/E7)</f>
        <v/>
      </c>
      <c r="E16" s="3">
        <f>LOG(F7/G7)</f>
        <v/>
      </c>
      <c r="F16" s="28">
        <f>D16/E16</f>
        <v/>
      </c>
      <c r="G16" s="27">
        <f>110-(25*F16)</f>
        <v/>
      </c>
    </row>
    <row r="17">
      <c r="C17" s="3" t="n">
        <v>5</v>
      </c>
      <c r="D17" s="3">
        <f>LOG(D8/E8)</f>
        <v/>
      </c>
      <c r="E17" s="3">
        <f>LOG(F8/G8)</f>
        <v/>
      </c>
      <c r="F17" s="28">
        <f>D17/E17</f>
        <v/>
      </c>
      <c r="G17" s="27">
        <f>110-(25*F17)</f>
        <v/>
      </c>
    </row>
    <row r="19">
      <c r="C19" s="8" t="inlineStr">
        <is>
          <t>No.</t>
        </is>
      </c>
      <c r="D19" s="8" t="inlineStr">
        <is>
          <t>ACred</t>
        </is>
      </c>
      <c r="E19" s="8" t="inlineStr">
        <is>
          <t>DCred</t>
        </is>
      </c>
      <c r="F19" s="8" t="inlineStr">
        <is>
          <t>R Absorption</t>
        </is>
      </c>
      <c r="G19" s="8" t="inlineStr">
        <is>
          <t>ACir</t>
        </is>
      </c>
      <c r="H19" s="8" t="inlineStr">
        <is>
          <t>DCir</t>
        </is>
      </c>
      <c r="I19" s="8" t="inlineStr">
        <is>
          <t>IR Absorption</t>
        </is>
      </c>
      <c r="J19" s="8" t="inlineStr">
        <is>
          <t>R</t>
        </is>
      </c>
      <c r="K19" s="8" t="inlineStr">
        <is>
          <t>%SpO2</t>
        </is>
      </c>
    </row>
    <row r="20">
      <c r="C20" s="3" t="n">
        <v>1</v>
      </c>
      <c r="D20" s="29">
        <f>D4-E4</f>
        <v/>
      </c>
      <c r="E20" s="29">
        <f>(D4+E4)/2</f>
        <v/>
      </c>
      <c r="F20" s="29">
        <f>D20/E20</f>
        <v/>
      </c>
      <c r="G20" s="29">
        <f>F4-G4</f>
        <v/>
      </c>
      <c r="H20" s="29">
        <f>(F4+G4)/2</f>
        <v/>
      </c>
      <c r="I20" s="29">
        <f>G20/H20</f>
        <v/>
      </c>
      <c r="J20" s="28">
        <f>F20/I20</f>
        <v/>
      </c>
      <c r="K20" s="30">
        <f>110-(25*J20)</f>
        <v/>
      </c>
    </row>
    <row r="21">
      <c r="C21" s="3" t="n">
        <v>2</v>
      </c>
      <c r="D21" s="29">
        <f>D5-E5</f>
        <v/>
      </c>
      <c r="E21" s="29">
        <f>(D5+E5)/2</f>
        <v/>
      </c>
      <c r="F21" s="29">
        <f>D21/E21</f>
        <v/>
      </c>
      <c r="G21" s="29">
        <f>F5-G5</f>
        <v/>
      </c>
      <c r="H21" s="29">
        <f>(F5+G5)/2</f>
        <v/>
      </c>
      <c r="I21" s="29">
        <f>G21/H21</f>
        <v/>
      </c>
      <c r="J21" s="28">
        <f>F21/I21</f>
        <v/>
      </c>
      <c r="K21" s="30">
        <f>110-(25*J21)</f>
        <v/>
      </c>
    </row>
    <row r="22">
      <c r="C22" s="3" t="n">
        <v>3</v>
      </c>
      <c r="D22" s="29">
        <f>D6-E6</f>
        <v/>
      </c>
      <c r="E22" s="29">
        <f>(D6+E6)/2</f>
        <v/>
      </c>
      <c r="F22" s="29">
        <f>D22/E22</f>
        <v/>
      </c>
      <c r="G22" s="29">
        <f>F6-G6</f>
        <v/>
      </c>
      <c r="H22" s="29">
        <f>(F6+G6)/2</f>
        <v/>
      </c>
      <c r="I22" s="29">
        <f>G22/H22</f>
        <v/>
      </c>
      <c r="J22" s="28">
        <f>F22/I22</f>
        <v/>
      </c>
      <c r="K22" s="30">
        <f>110-(25*J22)</f>
        <v/>
      </c>
    </row>
    <row r="23">
      <c r="C23" s="3" t="n">
        <v>4</v>
      </c>
      <c r="D23" s="29">
        <f>D7-E7</f>
        <v/>
      </c>
      <c r="E23" s="29">
        <f>(D7+E7)/2</f>
        <v/>
      </c>
      <c r="F23" s="29">
        <f>D23/E23</f>
        <v/>
      </c>
      <c r="G23" s="29">
        <f>F7-G7</f>
        <v/>
      </c>
      <c r="H23" s="29">
        <f>(F7+G7)/2</f>
        <v/>
      </c>
      <c r="I23" s="29">
        <f>G23/H23</f>
        <v/>
      </c>
      <c r="J23" s="28">
        <f>F23/I23</f>
        <v/>
      </c>
      <c r="K23" s="30">
        <f>110-(25*J23)</f>
        <v/>
      </c>
    </row>
    <row r="24">
      <c r="C24" s="3" t="n">
        <v>5</v>
      </c>
      <c r="D24" s="29">
        <f>D8-E8</f>
        <v/>
      </c>
      <c r="E24" s="29">
        <f>(D8+E8)/2</f>
        <v/>
      </c>
      <c r="F24" s="29">
        <f>D24/E24</f>
        <v/>
      </c>
      <c r="G24" s="29">
        <f>F8-G8</f>
        <v/>
      </c>
      <c r="H24" s="29">
        <f>(F8+G8)/2</f>
        <v/>
      </c>
      <c r="I24" s="29">
        <f>G24/H24</f>
        <v/>
      </c>
      <c r="J24" s="28">
        <f>F24/I24</f>
        <v/>
      </c>
      <c r="K24" s="30">
        <f>110-(25*J24)</f>
        <v/>
      </c>
    </row>
    <row r="25">
      <c r="C25" s="3" t="n">
        <v>6</v>
      </c>
      <c r="D25" s="29">
        <f>D9-E9</f>
        <v/>
      </c>
      <c r="E25" s="29">
        <f>(D9+E9)/2</f>
        <v/>
      </c>
      <c r="F25" s="29">
        <f>D25/E25</f>
        <v/>
      </c>
      <c r="G25" s="29">
        <f>F9-G9</f>
        <v/>
      </c>
      <c r="H25" s="29">
        <f>(F9+G9)/2</f>
        <v/>
      </c>
      <c r="I25" s="29">
        <f>G25/H25</f>
        <v/>
      </c>
      <c r="J25" s="28">
        <f>F25/I25</f>
        <v/>
      </c>
      <c r="K25" s="30">
        <f>110-(25*J25)</f>
        <v/>
      </c>
    </row>
    <row r="26">
      <c r="C26" s="8" t="inlineStr">
        <is>
          <t>Average</t>
        </is>
      </c>
      <c r="D26" s="31">
        <f>AVERAGE(D20:D25)</f>
        <v/>
      </c>
      <c r="E26" s="31">
        <f>AVERAGE(E20:E25)</f>
        <v/>
      </c>
      <c r="F26" s="8">
        <f>D26/E26</f>
        <v/>
      </c>
      <c r="G26" s="31">
        <f>AVERAGE(G20:G25)</f>
        <v/>
      </c>
      <c r="H26" s="31">
        <f>AVERAGE(H20:H25)</f>
        <v/>
      </c>
      <c r="I26" s="8">
        <f>G26/H26</f>
        <v/>
      </c>
      <c r="J26" s="32">
        <f>F26/I26</f>
        <v/>
      </c>
      <c r="K26" s="33">
        <f>110-(25*J26)</f>
        <v/>
      </c>
    </row>
    <row r="29">
      <c r="C29" s="8" t="inlineStr">
        <is>
          <t>No.</t>
        </is>
      </c>
      <c r="D29" s="8" t="inlineStr">
        <is>
          <t>R Absorption</t>
        </is>
      </c>
      <c r="E29" s="8" t="inlineStr">
        <is>
          <t>IR Absorption</t>
        </is>
      </c>
      <c r="F29" s="8" t="inlineStr">
        <is>
          <t>R</t>
        </is>
      </c>
      <c r="G29" s="8" t="inlineStr">
        <is>
          <t>%SpO2</t>
        </is>
      </c>
    </row>
    <row r="30">
      <c r="C30" s="3" t="n">
        <v>1</v>
      </c>
      <c r="D30" s="3">
        <f>LOG(D4/E4)</f>
        <v/>
      </c>
      <c r="E30" s="3">
        <f>LOG(F4/G4)</f>
        <v/>
      </c>
      <c r="F30" s="28">
        <f>D30/E30</f>
        <v/>
      </c>
      <c r="G30" s="30">
        <f>110-(25*F30)</f>
        <v/>
      </c>
    </row>
    <row r="31">
      <c r="C31" s="3" t="n">
        <v>2</v>
      </c>
      <c r="D31" s="3">
        <f>LOG(D5/E5)</f>
        <v/>
      </c>
      <c r="E31" s="3">
        <f>LOG(F5/G5)</f>
        <v/>
      </c>
      <c r="F31" s="28">
        <f>D31/E31</f>
        <v/>
      </c>
      <c r="G31" s="30">
        <f>110-(25*F31)</f>
        <v/>
      </c>
    </row>
    <row r="32">
      <c r="C32" s="3" t="n">
        <v>3</v>
      </c>
      <c r="D32" s="3">
        <f>LOG(D6/E6)</f>
        <v/>
      </c>
      <c r="E32" s="3">
        <f>LOG(F6/G6)</f>
        <v/>
      </c>
      <c r="F32" s="28">
        <f>D32/E32</f>
        <v/>
      </c>
      <c r="G32" s="30">
        <f>110-(25*F32)</f>
        <v/>
      </c>
      <c r="I32" s="34">
        <f>D8*2.1</f>
        <v/>
      </c>
      <c r="J32" s="34">
        <f>E8*2.1</f>
        <v/>
      </c>
      <c r="K32" s="34">
        <f>F8*2.1</f>
        <v/>
      </c>
      <c r="L32" s="34">
        <f>G8*2.1</f>
        <v/>
      </c>
    </row>
    <row r="33">
      <c r="C33" s="3" t="n">
        <v>4</v>
      </c>
      <c r="D33" s="3">
        <f>LOG(D7/E7)</f>
        <v/>
      </c>
      <c r="E33" s="3">
        <f>LOG(F7/G7)</f>
        <v/>
      </c>
      <c r="F33" s="28">
        <f>D33/E33</f>
        <v/>
      </c>
      <c r="G33" s="30">
        <f>110-(25*F33)</f>
        <v/>
      </c>
      <c r="I33" s="34">
        <f>D9*2.1</f>
        <v/>
      </c>
      <c r="J33" s="34">
        <f>E9*2.1</f>
        <v/>
      </c>
      <c r="K33" s="34">
        <f>F9*2.1</f>
        <v/>
      </c>
      <c r="L33" s="34">
        <f>G9*2.1</f>
        <v/>
      </c>
    </row>
    <row r="34">
      <c r="C34" s="3" t="n">
        <v>5</v>
      </c>
      <c r="D34" s="3">
        <f>LOG(D8/E8)</f>
        <v/>
      </c>
      <c r="E34" s="3">
        <f>LOG(F8/G8)</f>
        <v/>
      </c>
      <c r="F34" s="28">
        <f>D34/E34</f>
        <v/>
      </c>
      <c r="G34" s="30">
        <f>110-(25*F34)</f>
        <v/>
      </c>
    </row>
    <row r="35">
      <c r="C35" s="3" t="n">
        <v>6</v>
      </c>
      <c r="D35" s="3">
        <f>LOG(D9/E9)</f>
        <v/>
      </c>
      <c r="E35" s="3">
        <f>LOG(F9/G9)</f>
        <v/>
      </c>
      <c r="F35" s="28">
        <f>D35/E35</f>
        <v/>
      </c>
      <c r="G35" s="30">
        <f>110-(25*F35)</f>
        <v/>
      </c>
      <c r="I35" s="3">
        <f>LOG(I32/J32)</f>
        <v/>
      </c>
      <c r="J35" s="1">
        <f>LOG(K32/L32)</f>
        <v/>
      </c>
      <c r="K35" s="1">
        <f>I35/J35</f>
        <v/>
      </c>
    </row>
    <row r="36">
      <c r="C36" s="8" t="inlineStr">
        <is>
          <t>Average</t>
        </is>
      </c>
      <c r="D36" s="8">
        <f>AVERAGE(D30:D35)</f>
        <v/>
      </c>
      <c r="E36" s="8">
        <f>AVERAGE(E30:E35)</f>
        <v/>
      </c>
      <c r="F36" s="32">
        <f>D36/E36</f>
        <v/>
      </c>
      <c r="G36" s="33">
        <f>110-(25*F36)</f>
        <v/>
      </c>
    </row>
    <row r="39">
      <c r="C39" s="8" t="inlineStr">
        <is>
          <t>No.</t>
        </is>
      </c>
      <c r="D39" s="8" t="inlineStr">
        <is>
          <t>T[n]</t>
        </is>
      </c>
      <c r="E39" s="8" t="inlineStr">
        <is>
          <t>PR[n]</t>
        </is>
      </c>
    </row>
    <row r="40">
      <c r="C40" s="3" t="n">
        <v>1</v>
      </c>
      <c r="D40" s="28">
        <f>H5-H4</f>
        <v/>
      </c>
      <c r="E40" s="30">
        <f>(1/D40)*60</f>
        <v/>
      </c>
    </row>
    <row r="41">
      <c r="C41" s="3" t="n">
        <v>2</v>
      </c>
      <c r="D41" s="28">
        <f>H6-H5</f>
        <v/>
      </c>
      <c r="E41" s="30">
        <f>(1/D41)*60</f>
        <v/>
      </c>
      <c r="G41" s="1" t="inlineStr">
        <is>
          <t> </t>
        </is>
      </c>
    </row>
    <row r="42">
      <c r="C42" s="3" t="n">
        <v>3</v>
      </c>
      <c r="D42" s="28">
        <f>H7-H6</f>
        <v/>
      </c>
      <c r="E42" s="30">
        <f>(1/D42)*60</f>
        <v/>
      </c>
    </row>
    <row r="43">
      <c r="C43" s="3" t="n">
        <v>4</v>
      </c>
      <c r="D43" s="28">
        <f>H8-H7</f>
        <v/>
      </c>
      <c r="E43" s="30">
        <f>(1/D43)*60</f>
        <v/>
      </c>
    </row>
    <row r="44">
      <c r="C44" s="3" t="n">
        <v>5</v>
      </c>
      <c r="D44" s="28">
        <f>H9-H8</f>
        <v/>
      </c>
      <c r="E44" s="30">
        <f>(1/D44)*60</f>
        <v/>
      </c>
    </row>
    <row r="45">
      <c r="C45" s="8" t="inlineStr">
        <is>
          <t>Average</t>
        </is>
      </c>
      <c r="D45" s="32">
        <f>AVERAGE(D40:D44)</f>
        <v/>
      </c>
      <c r="E45" s="33">
        <f>(1/D45)*60</f>
        <v/>
      </c>
    </row>
    <row r="48">
      <c r="C48" s="8" t="inlineStr">
        <is>
          <t>No.</t>
        </is>
      </c>
      <c r="D48" s="8" t="inlineStr">
        <is>
          <t>ACir</t>
        </is>
      </c>
      <c r="E48" s="8" t="inlineStr">
        <is>
          <t>DCir</t>
        </is>
      </c>
      <c r="F48" s="8" t="inlineStr">
        <is>
          <t>PI (%)</t>
        </is>
      </c>
    </row>
    <row r="49">
      <c r="C49" s="3" t="n">
        <v>1</v>
      </c>
      <c r="D49" s="29">
        <f>G20</f>
        <v/>
      </c>
      <c r="E49" s="29">
        <f>H20</f>
        <v/>
      </c>
      <c r="F49" s="12">
        <f>(D49/E49)*100</f>
        <v/>
      </c>
    </row>
    <row r="50">
      <c r="C50" s="3" t="n">
        <v>2</v>
      </c>
      <c r="D50" s="29">
        <f>G21</f>
        <v/>
      </c>
      <c r="E50" s="29">
        <f>H21</f>
        <v/>
      </c>
      <c r="F50" s="12">
        <f>(D50/E50)*100</f>
        <v/>
      </c>
    </row>
    <row r="51">
      <c r="C51" s="3" t="n">
        <v>3</v>
      </c>
      <c r="D51" s="29">
        <f>G22</f>
        <v/>
      </c>
      <c r="E51" s="29">
        <f>H22</f>
        <v/>
      </c>
      <c r="F51" s="12">
        <f>(D51/E51)*100</f>
        <v/>
      </c>
    </row>
    <row r="52">
      <c r="C52" s="3" t="n">
        <v>4</v>
      </c>
      <c r="D52" s="29">
        <f>G23</f>
        <v/>
      </c>
      <c r="E52" s="29">
        <f>H23</f>
        <v/>
      </c>
      <c r="F52" s="12">
        <f>(D52/E52)*100</f>
        <v/>
      </c>
    </row>
    <row r="53">
      <c r="C53" s="3" t="n">
        <v>5</v>
      </c>
      <c r="D53" s="29">
        <f>G24</f>
        <v/>
      </c>
      <c r="E53" s="29">
        <f>H24</f>
        <v/>
      </c>
      <c r="F53" s="12">
        <f>(D53/E53)*100</f>
        <v/>
      </c>
    </row>
    <row r="54">
      <c r="C54" s="3" t="n">
        <v>6</v>
      </c>
      <c r="D54" s="29">
        <f>G25</f>
        <v/>
      </c>
      <c r="E54" s="29">
        <f>H25</f>
        <v/>
      </c>
      <c r="F54" s="12">
        <f>(D54/E54)*100</f>
        <v/>
      </c>
    </row>
    <row r="55">
      <c r="C55" s="8" t="inlineStr">
        <is>
          <t>Average</t>
        </is>
      </c>
      <c r="D55" s="31">
        <f>AVERAGE(D49:D54)</f>
        <v/>
      </c>
      <c r="E55" s="31">
        <f>AVERAGE(E49:E54)</f>
        <v/>
      </c>
      <c r="F55" s="13">
        <f>(D55/E55)*100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8:F10"/>
  <sheetViews>
    <sheetView workbookViewId="0">
      <selection activeCell="F19" sqref="F19"/>
    </sheetView>
  </sheetViews>
  <sheetFormatPr baseColWidth="8" defaultRowHeight="14.25"/>
  <sheetData>
    <row r="8">
      <c r="D8" t="n">
        <v>1</v>
      </c>
    </row>
    <row r="9">
      <c r="D9" t="n">
        <v>2</v>
      </c>
    </row>
    <row r="10">
      <c r="D10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Q10"/>
  <sheetViews>
    <sheetView topLeftCell="C1" zoomScale="90" zoomScaleNormal="90" workbookViewId="0">
      <selection activeCell="J22" sqref="J22"/>
    </sheetView>
  </sheetViews>
  <sheetFormatPr baseColWidth="8" defaultRowHeight="14.25"/>
  <cols>
    <col width="15" customWidth="1" min="2" max="2"/>
    <col width="8.25" customWidth="1" style="2" min="3" max="3"/>
    <col width="12.5" customWidth="1" style="2" min="4" max="17"/>
    <col width="9.5" customWidth="1" min="18" max="18"/>
  </cols>
  <sheetData>
    <row r="3">
      <c r="C3" s="25" t="inlineStr">
        <is>
          <t xml:space="preserve">No. </t>
        </is>
      </c>
      <c r="D3" s="23" t="inlineStr">
        <is>
          <t>Algorithm1</t>
        </is>
      </c>
      <c r="E3" s="35" t="n"/>
      <c r="F3" s="35" t="n"/>
      <c r="G3" s="35" t="n"/>
      <c r="H3" s="35" t="n"/>
      <c r="I3" s="35" t="n"/>
      <c r="J3" s="35" t="n"/>
      <c r="K3" s="36" t="n"/>
      <c r="L3" s="24" t="inlineStr">
        <is>
          <t>Algorithm 2</t>
        </is>
      </c>
      <c r="M3" s="35" t="n"/>
      <c r="N3" s="35" t="n"/>
      <c r="O3" s="35" t="n"/>
      <c r="P3" s="35" t="n"/>
      <c r="Q3" s="36" t="n"/>
    </row>
    <row r="4">
      <c r="C4" s="37" t="n"/>
      <c r="D4" s="23" t="inlineStr">
        <is>
          <t>ACred</t>
        </is>
      </c>
      <c r="E4" s="23" t="inlineStr">
        <is>
          <t>DCred</t>
        </is>
      </c>
      <c r="F4" s="23" t="inlineStr">
        <is>
          <t>ACir</t>
        </is>
      </c>
      <c r="G4" s="23" t="inlineStr">
        <is>
          <t>DCir</t>
        </is>
      </c>
      <c r="H4" s="23" t="inlineStr">
        <is>
          <t>R Absorption</t>
        </is>
      </c>
      <c r="I4" s="23" t="inlineStr">
        <is>
          <t>IR Absorption</t>
        </is>
      </c>
      <c r="J4" s="23" t="inlineStr">
        <is>
          <t>R</t>
        </is>
      </c>
      <c r="K4" s="23" t="inlineStr">
        <is>
          <t>SpO2</t>
        </is>
      </c>
      <c r="L4" s="24" t="inlineStr">
        <is>
          <t>R Absorption</t>
        </is>
      </c>
      <c r="M4" s="24" t="inlineStr">
        <is>
          <t>IR Absorption</t>
        </is>
      </c>
      <c r="N4" s="24" t="inlineStr">
        <is>
          <t>R</t>
        </is>
      </c>
      <c r="O4" s="24" t="inlineStr">
        <is>
          <t>SpO2</t>
        </is>
      </c>
      <c r="P4" s="24" t="inlineStr">
        <is>
          <t>PR</t>
        </is>
      </c>
      <c r="Q4" s="24" t="inlineStr">
        <is>
          <t>PI</t>
        </is>
      </c>
    </row>
    <row r="5">
      <c r="C5" s="16" t="n">
        <v>1</v>
      </c>
      <c r="D5" s="38" t="n"/>
      <c r="E5" s="16" t="n"/>
      <c r="F5" s="16" t="n"/>
      <c r="G5" s="16" t="n"/>
      <c r="H5" s="38" t="n"/>
      <c r="I5" s="38" t="n"/>
      <c r="J5" s="38" t="n"/>
      <c r="K5" s="39" t="n"/>
      <c r="L5" s="38" t="n"/>
      <c r="M5" s="38" t="n"/>
      <c r="N5" s="38" t="n"/>
      <c r="O5" s="39" t="n"/>
      <c r="P5" s="38" t="n"/>
      <c r="Q5" s="39" t="n"/>
    </row>
    <row r="6">
      <c r="C6" s="16" t="n">
        <v>2</v>
      </c>
      <c r="D6" s="38" t="n"/>
      <c r="E6" s="16" t="n"/>
      <c r="F6" s="16" t="n"/>
      <c r="G6" s="16" t="n"/>
      <c r="H6" s="38" t="n"/>
      <c r="I6" s="38" t="n"/>
      <c r="J6" s="38" t="n"/>
      <c r="K6" s="39" t="n"/>
      <c r="L6" s="38" t="n"/>
      <c r="M6" s="38" t="n"/>
      <c r="N6" s="38" t="n"/>
      <c r="O6" s="39" t="n"/>
      <c r="P6" s="39" t="n"/>
      <c r="Q6" s="39" t="n"/>
    </row>
    <row r="7">
      <c r="C7" s="16" t="n">
        <v>3</v>
      </c>
      <c r="D7" s="38" t="n"/>
      <c r="E7" s="16" t="n"/>
      <c r="F7" s="16" t="n"/>
      <c r="G7" s="16" t="n"/>
      <c r="H7" s="38" t="n"/>
      <c r="I7" s="38" t="n"/>
      <c r="J7" s="38" t="n"/>
      <c r="K7" s="39" t="n"/>
      <c r="L7" s="38" t="n"/>
      <c r="M7" s="38" t="n"/>
      <c r="N7" s="38" t="n"/>
      <c r="O7" s="39" t="n"/>
      <c r="P7" s="39" t="n"/>
      <c r="Q7" s="39" t="n"/>
    </row>
    <row r="8">
      <c r="C8" s="16" t="n">
        <v>4</v>
      </c>
      <c r="D8" s="38" t="n"/>
      <c r="E8" s="16" t="n"/>
      <c r="F8" s="16" t="n"/>
      <c r="G8" s="16" t="n"/>
      <c r="H8" s="38" t="n"/>
      <c r="I8" s="38" t="n"/>
      <c r="J8" s="38" t="n"/>
      <c r="K8" s="39" t="n"/>
      <c r="L8" s="38" t="n"/>
      <c r="M8" s="38" t="n"/>
      <c r="N8" s="38" t="n"/>
      <c r="O8" s="39" t="n"/>
      <c r="P8" s="39" t="n"/>
      <c r="Q8" s="39" t="n"/>
    </row>
    <row r="9">
      <c r="C9" s="16" t="n">
        <v>5</v>
      </c>
      <c r="D9" s="38" t="n"/>
      <c r="E9" s="16" t="n"/>
      <c r="F9" s="16" t="n"/>
      <c r="G9" s="16" t="n"/>
      <c r="H9" s="38" t="n"/>
      <c r="I9" s="38" t="n"/>
      <c r="J9" s="38" t="n"/>
      <c r="K9" s="39" t="n"/>
      <c r="L9" s="38" t="n"/>
      <c r="M9" s="38" t="n"/>
      <c r="N9" s="38" t="n"/>
      <c r="O9" s="39" t="n"/>
      <c r="P9" s="39" t="n"/>
      <c r="Q9" s="39" t="n"/>
    </row>
    <row r="10">
      <c r="C10" s="16" t="n">
        <v>6</v>
      </c>
      <c r="D10" s="38" t="n"/>
      <c r="E10" s="16" t="n"/>
      <c r="F10" s="16" t="n"/>
      <c r="G10" s="16" t="n"/>
      <c r="H10" s="38" t="n"/>
      <c r="I10" s="38" t="n"/>
      <c r="J10" s="38" t="n"/>
      <c r="K10" s="39" t="n"/>
      <c r="L10" s="38" t="n"/>
      <c r="M10" s="38" t="n"/>
      <c r="N10" s="38" t="n"/>
      <c r="O10" s="39" t="n"/>
      <c r="P10" s="39" t="n"/>
      <c r="Q10" s="39" t="n"/>
    </row>
  </sheetData>
  <mergeCells count="3">
    <mergeCell ref="D3:K3"/>
    <mergeCell ref="C3:C4"/>
    <mergeCell ref="L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Theera Leeudomwong</dc:creator>
  <dcterms:created xsi:type="dcterms:W3CDTF">2022-02-23T05:28:26Z</dcterms:created>
  <dcterms:modified xsi:type="dcterms:W3CDTF">2026-10-28T03:22:48Z</dcterms:modified>
  <cp:lastModifiedBy>medlab2</cp:lastModifiedBy>
</cp:coreProperties>
</file>